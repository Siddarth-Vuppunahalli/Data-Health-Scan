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1" documentId="11_67FB25A07EE7D67C8F58E78A4EA1471838555B17" xr6:coauthVersionLast="47" xr6:coauthVersionMax="47" xr10:uidLastSave="{9A4DCFFF-07A7-4513-87C5-62311D6F8EF3}"/>
  <bookViews>
    <workbookView xWindow="0" yWindow="0" windowWidth="16384" windowHeight="8192" tabRatio="500" xr2:uid="{00000000-000D-0000-FFFF-FFFF00000000}"/>
  </bookViews>
  <sheets>
    <sheet name="Sprint Board" sheetId="1" r:id="rId1"/>
    <sheet name="Load by owner" sheetId="2" r:id="rId2"/>
    <sheet name="Legend" sheetId="3" r:id="rId3"/>
  </sheets>
  <definedNames>
    <definedName name="_xlnm._FilterDatabase" localSheetId="0" hidden="1">'Sprint Board'!$A$3:$H$25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B5" i="2"/>
  <c r="B4" i="2"/>
  <c r="F26" i="1"/>
</calcChain>
</file>

<file path=xl/sharedStrings.xml><?xml version="1.0" encoding="utf-8"?>
<sst xmlns="http://schemas.openxmlformats.org/spreadsheetml/2006/main" count="186" uniqueCount="96">
  <si>
    <t>Data-Integrity Sprint — Sid &amp; Rhea · 2 weeks (aggressive) · after the differentiator/Proving-Ground task</t>
  </si>
  <si>
    <t>Start date: __________   (Day 1 = first Monday after differentiator task signs off).  Standup daily 10:00. Status every Friday 4pm.</t>
  </si>
  <si>
    <t>Day</t>
  </si>
  <si>
    <t>Week</t>
  </si>
  <si>
    <t>Task</t>
  </si>
  <si>
    <t>Tier</t>
  </si>
  <si>
    <t>Owner</t>
  </si>
  <si>
    <t>Est (hrs)</t>
  </si>
  <si>
    <t>Acceptance / done-when</t>
  </si>
  <si>
    <t>Status</t>
  </si>
  <si>
    <t>Day 1</t>
  </si>
  <si>
    <t>W1</t>
  </si>
  <si>
    <t>Setup: venv, run dhs.py + pytest, read dhs.py end-to-end + Build Guide</t>
  </si>
  <si>
    <t>Onboard</t>
  </si>
  <si>
    <t>Both</t>
  </si>
  <si>
    <t>Both can run the scan + green tests; can explain ColumnProfile &amp; Finding</t>
  </si>
  <si>
    <t>Not started</t>
  </si>
  <si>
    <t>Read v2 Feature-Set doc (Part B) — algorithm for every check</t>
  </si>
  <si>
    <t>Each can name the 5 new dimensions and pick their checks</t>
  </si>
  <si>
    <t>Day 2</t>
  </si>
  <si>
    <t>Tune check_fake_key (only own-key, not foreign keys)</t>
  </si>
  <si>
    <t>T2</t>
  </si>
  <si>
    <t>Sid</t>
  </si>
  <si>
    <t>fake_key fires only on supply_id, not shop_id; precision test green</t>
  </si>
  <si>
    <t>Tune check_dirty_categorical (exclude *_id and date cols)</t>
  </si>
  <si>
    <t>Rhea</t>
  </si>
  <si>
    <t>no dirty_categorical on IDs/dates; still catches text variants</t>
  </si>
  <si>
    <t>Tier-1 quick wins: hidden_structure + mixed_format</t>
  </si>
  <si>
    <t>T1</t>
  </si>
  <si>
    <t>both return Findings on seeded/﻿crafted cases; tests green</t>
  </si>
  <si>
    <t>Day 3</t>
  </si>
  <si>
    <t>check_validity (range / date / allowed-set rules)</t>
  </si>
  <si>
    <t>flags impossible dates &amp; out-of-range numerics with samples</t>
  </si>
  <si>
    <t>check_reference_standardization — states (ISO/FIPS) first</t>
  </si>
  <si>
    <t>T3</t>
  </si>
  <si>
    <t>catches shops.state California/CA/Calif → canonical</t>
  </si>
  <si>
    <t>Day 4</t>
  </si>
  <si>
    <t>check_cross_field (next_due≥last_exam; consumed≤ordered; status vs date)</t>
  </si>
  <si>
    <t>surveillance status-vs-date violation flagged; test green</t>
  </si>
  <si>
    <t>check_reference_standardization — defense masks (CAGE/NSN/DoDAAC)</t>
  </si>
  <si>
    <t>invalid CAGE/NSN format flagged; valid ones pass</t>
  </si>
  <si>
    <t>Day 5</t>
  </si>
  <si>
    <t>Tier-1: locked_table + finish missing_key candidate flag</t>
  </si>
  <si>
    <t>both implemented; CHECKS list updated</t>
  </si>
  <si>
    <t>check_stale_data (freshness window per partition)</t>
  </si>
  <si>
    <t>Fuel Cell 'no rows since March' flagged</t>
  </si>
  <si>
    <t>FRIDAY STATUS #1 — submit weekly report (see template)</t>
  </si>
  <si>
    <t>Milestone</t>
  </si>
  <si>
    <t>Status sent by 4pm Fri using the standard format</t>
  </si>
  <si>
    <t>Day 6</t>
  </si>
  <si>
    <t>W2</t>
  </si>
  <si>
    <t>check_near_duplicate (blocking + fuzzy on roster)</t>
  </si>
  <si>
    <t>same person twice (typo) clustered; est dup count reported</t>
  </si>
  <si>
    <t>check_units (mixed kg/lb; precision mismatch)</t>
  </si>
  <si>
    <t>a seeded unit mix is flagged with evidence</t>
  </si>
  <si>
    <t>Day 7</t>
  </si>
  <si>
    <t>check_sensitivity (SSN/DoD-ID/CUI in free-text)</t>
  </si>
  <si>
    <t>planted SSN-in-notes flagged, value masked</t>
  </si>
  <si>
    <t>check_undocumented_join (MinHash resemblance across tables)</t>
  </si>
  <si>
    <t>suggests a real undeclared join; no garbage suggestions</t>
  </si>
  <si>
    <t>Day 8</t>
  </si>
  <si>
    <t>Harden check_key_conformity (seed NSN len mismatch; raw vs normalized)</t>
  </si>
  <si>
    <t>length mismatch flagged; normalized_match≫raw shown</t>
  </si>
  <si>
    <t>Scoring v2 (weight by severity AND % rows touched)</t>
  </si>
  <si>
    <t>Core</t>
  </si>
  <si>
    <t>score reflects coverage; HIGH/MED/LOW counts correct</t>
  </si>
  <si>
    <t>Day 9</t>
  </si>
  <si>
    <t>Narrative assembler (join related findings into 1 sentence)</t>
  </si>
  <si>
    <t>emits the 'your count is wrong because…' sentence</t>
  </si>
  <si>
    <t>Run full scan on EDUCATION dataset (domain-agnostic proof)</t>
  </si>
  <si>
    <t>Verify</t>
  </si>
  <si>
    <t>finds Georgia 3-ways, dup license_id, Carver missing</t>
  </si>
  <si>
    <t>Day 10</t>
  </si>
  <si>
    <t>Precision pass + README + final pytest green; demo the scan</t>
  </si>
  <si>
    <t>Polish</t>
  </si>
  <si>
    <t>no obvious false positives; all tests green; 5-min walkthrough</t>
  </si>
  <si>
    <t>FRIDAY STATUS #2 — final report + handoff notes</t>
  </si>
  <si>
    <t>Status + what's done/left sent by 4pm Fri</t>
  </si>
  <si>
    <t>TOTAL planned hours</t>
  </si>
  <si>
    <t>Planned hours by owner</t>
  </si>
  <si>
    <t>Hours</t>
  </si>
  <si>
    <t>Note</t>
  </si>
  <si>
    <t>'Both' hours are pair/shared. ~6 productive hrs/day assumed; 2 wks ≈ 60 hrs/intern.</t>
  </si>
  <si>
    <t>Legend</t>
  </si>
  <si>
    <t>Tiers</t>
  </si>
  <si>
    <t>T1 = profile-only (1–2 hrs) · T2 = value analysis (½–1 day) · T3 = cross-table / reference data (1–2 days)</t>
  </si>
  <si>
    <t>Owner colors</t>
  </si>
  <si>
    <t>Sid (blue) · Rhea (purple) · Both (green = pair on it)</t>
  </si>
  <si>
    <t>Aggressive pace</t>
  </si>
  <si>
    <t>2 checks/intern most days. If a T3 slips, cut sensitivity or undocumented_join FIRST; never cut scoring or the Friday status.</t>
  </si>
  <si>
    <t>Prereq</t>
  </si>
  <si>
    <t>Starts AFTER the differentiator / Proving-Ground benchmark task is submitted.</t>
  </si>
  <si>
    <t>Definition of done</t>
  </si>
  <si>
    <t>green pytest (recall + precision tests) · runs on Education data · narrative sentence · no obvious false positives</t>
  </si>
  <si>
    <t>Where the work lives</t>
  </si>
  <si>
    <t>kit/dhs.py (add checks) · kit/test_dhs.py (write test first) · kit/data (seeded answer 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</si>
</sst>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10"/>
      <color rgb="FF333333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Cambria"/>
      <charset val="1"/>
    </font>
    <font>
      <b/>
      <sz val="10"/>
      <name val="Cambria"/>
      <charset val="1"/>
    </font>
    <font>
      <sz val="10"/>
      <name val="Cambria"/>
      <charset val="1"/>
    </font>
  </fonts>
  <fills count="11">
    <fill>
      <patternFill patternType="none"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EFEFEF"/>
        <bgColor rgb="FFF2F2F2"/>
      </patternFill>
    </fill>
    <fill>
      <patternFill patternType="solid">
        <fgColor rgb="FFC9A84C"/>
        <bgColor rgb="FFFF9900"/>
      </patternFill>
    </fill>
    <fill>
      <patternFill patternType="solid">
        <fgColor rgb="FFF2F2F2"/>
        <bgColor rgb="FFEFEFEF"/>
      </patternFill>
    </fill>
    <fill>
      <patternFill patternType="solid">
        <fgColor rgb="FF1E7B34"/>
        <bgColor rgb="FF008080"/>
      </patternFill>
    </fill>
    <fill>
      <patternFill patternType="solid">
        <fgColor rgb="FF1F6FB2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FBF4DE"/>
        <bgColor rgb="FFF2F2F2"/>
      </patternFill>
    </fill>
    <fill>
      <patternFill patternType="solid">
        <fgColor rgb="FFE8E2CF"/>
        <bgColor rgb="FFEFEFE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8E44AD"/>
      <rgbColor rgb="FFFBF4DE"/>
      <rgbColor rgb="FFEFEFEF"/>
      <rgbColor rgb="FF660066"/>
      <rgbColor rgb="FFFF8080"/>
      <rgbColor rgb="FF1F6FB2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2C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A1F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7" customWidth="1"/>
    <col min="2" max="2" width="6" customWidth="1"/>
    <col min="3" max="3" width="46" customWidth="1"/>
    <col min="4" max="4" width="9" customWidth="1"/>
    <col min="5" max="5" width="8" customWidth="1"/>
    <col min="6" max="6" width="9" customWidth="1"/>
    <col min="7" max="7" width="40" customWidth="1"/>
    <col min="8" max="8" width="12" customWidth="1"/>
  </cols>
  <sheetData>
    <row r="1" spans="1:8" ht="25.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18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8" ht="27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23.85">
      <c r="A4" s="4" t="s">
        <v>10</v>
      </c>
      <c r="B4" s="4" t="s">
        <v>11</v>
      </c>
      <c r="C4" s="5" t="s">
        <v>12</v>
      </c>
      <c r="D4" s="4" t="s">
        <v>13</v>
      </c>
      <c r="E4" s="6" t="s">
        <v>14</v>
      </c>
      <c r="F4" s="4">
        <v>4</v>
      </c>
      <c r="G4" s="5" t="s">
        <v>15</v>
      </c>
      <c r="H4" s="4" t="s">
        <v>16</v>
      </c>
    </row>
    <row r="5" spans="1:8" ht="23.85">
      <c r="A5" s="7" t="s">
        <v>10</v>
      </c>
      <c r="B5" s="7" t="s">
        <v>11</v>
      </c>
      <c r="C5" s="8" t="s">
        <v>17</v>
      </c>
      <c r="D5" s="7" t="s">
        <v>13</v>
      </c>
      <c r="E5" s="6" t="s">
        <v>14</v>
      </c>
      <c r="F5" s="7">
        <v>2</v>
      </c>
      <c r="G5" s="8" t="s">
        <v>18</v>
      </c>
      <c r="H5" s="7" t="s">
        <v>16</v>
      </c>
    </row>
    <row r="6" spans="1:8" ht="23.85">
      <c r="A6" s="4" t="s">
        <v>19</v>
      </c>
      <c r="B6" s="4" t="s">
        <v>11</v>
      </c>
      <c r="C6" s="5" t="s">
        <v>20</v>
      </c>
      <c r="D6" s="4" t="s">
        <v>21</v>
      </c>
      <c r="E6" s="9" t="s">
        <v>22</v>
      </c>
      <c r="F6" s="4">
        <v>3</v>
      </c>
      <c r="G6" s="5" t="s">
        <v>23</v>
      </c>
      <c r="H6" s="4" t="s">
        <v>16</v>
      </c>
    </row>
    <row r="7" spans="1:8" ht="23.85">
      <c r="A7" s="7" t="s">
        <v>19</v>
      </c>
      <c r="B7" s="7" t="s">
        <v>11</v>
      </c>
      <c r="C7" s="8" t="s">
        <v>24</v>
      </c>
      <c r="D7" s="7" t="s">
        <v>21</v>
      </c>
      <c r="E7" s="10" t="s">
        <v>25</v>
      </c>
      <c r="F7" s="7">
        <v>3</v>
      </c>
      <c r="G7" s="8" t="s">
        <v>26</v>
      </c>
      <c r="H7" s="7" t="s">
        <v>16</v>
      </c>
    </row>
    <row r="8" spans="1:8" ht="23.85">
      <c r="A8" s="4" t="s">
        <v>19</v>
      </c>
      <c r="B8" s="4" t="s">
        <v>11</v>
      </c>
      <c r="C8" s="5" t="s">
        <v>27</v>
      </c>
      <c r="D8" s="4" t="s">
        <v>28</v>
      </c>
      <c r="E8" s="9" t="s">
        <v>22</v>
      </c>
      <c r="F8" s="4">
        <v>3</v>
      </c>
      <c r="G8" s="5" t="s">
        <v>29</v>
      </c>
      <c r="H8" s="4" t="s">
        <v>16</v>
      </c>
    </row>
    <row r="9" spans="1:8" ht="23.85">
      <c r="A9" s="7" t="s">
        <v>30</v>
      </c>
      <c r="B9" s="7" t="s">
        <v>11</v>
      </c>
      <c r="C9" s="8" t="s">
        <v>31</v>
      </c>
      <c r="D9" s="7" t="s">
        <v>21</v>
      </c>
      <c r="E9" s="9" t="s">
        <v>22</v>
      </c>
      <c r="F9" s="7">
        <v>6</v>
      </c>
      <c r="G9" s="8" t="s">
        <v>32</v>
      </c>
      <c r="H9" s="7" t="s">
        <v>16</v>
      </c>
    </row>
    <row r="10" spans="1:8" ht="23.85">
      <c r="A10" s="4" t="s">
        <v>30</v>
      </c>
      <c r="B10" s="4" t="s">
        <v>11</v>
      </c>
      <c r="C10" s="5" t="s">
        <v>33</v>
      </c>
      <c r="D10" s="4" t="s">
        <v>34</v>
      </c>
      <c r="E10" s="10" t="s">
        <v>25</v>
      </c>
      <c r="F10" s="4">
        <v>6</v>
      </c>
      <c r="G10" s="5" t="s">
        <v>35</v>
      </c>
      <c r="H10" s="4" t="s">
        <v>16</v>
      </c>
    </row>
    <row r="11" spans="1:8" ht="23.85">
      <c r="A11" s="7" t="s">
        <v>36</v>
      </c>
      <c r="B11" s="7" t="s">
        <v>11</v>
      </c>
      <c r="C11" s="8" t="s">
        <v>37</v>
      </c>
      <c r="D11" s="7" t="s">
        <v>21</v>
      </c>
      <c r="E11" s="9" t="s">
        <v>22</v>
      </c>
      <c r="F11" s="7">
        <v>6</v>
      </c>
      <c r="G11" s="8" t="s">
        <v>38</v>
      </c>
      <c r="H11" s="7" t="s">
        <v>16</v>
      </c>
    </row>
    <row r="12" spans="1:8" ht="23.85">
      <c r="A12" s="4" t="s">
        <v>36</v>
      </c>
      <c r="B12" s="4" t="s">
        <v>11</v>
      </c>
      <c r="C12" s="5" t="s">
        <v>39</v>
      </c>
      <c r="D12" s="4" t="s">
        <v>34</v>
      </c>
      <c r="E12" s="10" t="s">
        <v>25</v>
      </c>
      <c r="F12" s="4">
        <v>5</v>
      </c>
      <c r="G12" s="5" t="s">
        <v>40</v>
      </c>
      <c r="H12" s="4" t="s">
        <v>16</v>
      </c>
    </row>
    <row r="13" spans="1:8">
      <c r="A13" s="7" t="s">
        <v>41</v>
      </c>
      <c r="B13" s="7" t="s">
        <v>11</v>
      </c>
      <c r="C13" s="8" t="s">
        <v>42</v>
      </c>
      <c r="D13" s="7" t="s">
        <v>28</v>
      </c>
      <c r="E13" s="9" t="s">
        <v>22</v>
      </c>
      <c r="F13" s="7">
        <v>3</v>
      </c>
      <c r="G13" s="8" t="s">
        <v>43</v>
      </c>
      <c r="H13" s="7" t="s">
        <v>16</v>
      </c>
    </row>
    <row r="14" spans="1:8">
      <c r="A14" s="4" t="s">
        <v>41</v>
      </c>
      <c r="B14" s="4" t="s">
        <v>11</v>
      </c>
      <c r="C14" s="5" t="s">
        <v>44</v>
      </c>
      <c r="D14" s="4" t="s">
        <v>34</v>
      </c>
      <c r="E14" s="10" t="s">
        <v>25</v>
      </c>
      <c r="F14" s="4">
        <v>4</v>
      </c>
      <c r="G14" s="5" t="s">
        <v>45</v>
      </c>
      <c r="H14" s="4" t="s">
        <v>16</v>
      </c>
    </row>
    <row r="15" spans="1:8" ht="23.85">
      <c r="A15" s="11" t="s">
        <v>41</v>
      </c>
      <c r="B15" s="11" t="s">
        <v>11</v>
      </c>
      <c r="C15" s="12" t="s">
        <v>46</v>
      </c>
      <c r="D15" s="11" t="s">
        <v>47</v>
      </c>
      <c r="E15" s="6" t="s">
        <v>14</v>
      </c>
      <c r="F15" s="11">
        <v>1</v>
      </c>
      <c r="G15" s="12" t="s">
        <v>48</v>
      </c>
      <c r="H15" s="11" t="s">
        <v>16</v>
      </c>
    </row>
    <row r="16" spans="1:8" ht="23.85">
      <c r="A16" s="4" t="s">
        <v>49</v>
      </c>
      <c r="B16" s="4" t="s">
        <v>50</v>
      </c>
      <c r="C16" s="5" t="s">
        <v>51</v>
      </c>
      <c r="D16" s="4" t="s">
        <v>34</v>
      </c>
      <c r="E16" s="10" t="s">
        <v>25</v>
      </c>
      <c r="F16" s="4">
        <v>6</v>
      </c>
      <c r="G16" s="5" t="s">
        <v>52</v>
      </c>
      <c r="H16" s="4" t="s">
        <v>16</v>
      </c>
    </row>
    <row r="17" spans="1:8">
      <c r="A17" s="7" t="s">
        <v>49</v>
      </c>
      <c r="B17" s="7" t="s">
        <v>50</v>
      </c>
      <c r="C17" s="8" t="s">
        <v>53</v>
      </c>
      <c r="D17" s="7" t="s">
        <v>34</v>
      </c>
      <c r="E17" s="9" t="s">
        <v>22</v>
      </c>
      <c r="F17" s="7">
        <v>6</v>
      </c>
      <c r="G17" s="8" t="s">
        <v>54</v>
      </c>
      <c r="H17" s="7" t="s">
        <v>16</v>
      </c>
    </row>
    <row r="18" spans="1:8">
      <c r="A18" s="4" t="s">
        <v>55</v>
      </c>
      <c r="B18" s="4" t="s">
        <v>50</v>
      </c>
      <c r="C18" s="5" t="s">
        <v>56</v>
      </c>
      <c r="D18" s="4" t="s">
        <v>34</v>
      </c>
      <c r="E18" s="9" t="s">
        <v>22</v>
      </c>
      <c r="F18" s="4">
        <v>6</v>
      </c>
      <c r="G18" s="5" t="s">
        <v>57</v>
      </c>
      <c r="H18" s="4" t="s">
        <v>16</v>
      </c>
    </row>
    <row r="19" spans="1:8" ht="23.85">
      <c r="A19" s="7" t="s">
        <v>55</v>
      </c>
      <c r="B19" s="7" t="s">
        <v>50</v>
      </c>
      <c r="C19" s="8" t="s">
        <v>58</v>
      </c>
      <c r="D19" s="7" t="s">
        <v>34</v>
      </c>
      <c r="E19" s="10" t="s">
        <v>25</v>
      </c>
      <c r="F19" s="7">
        <v>6</v>
      </c>
      <c r="G19" s="8" t="s">
        <v>59</v>
      </c>
      <c r="H19" s="7" t="s">
        <v>16</v>
      </c>
    </row>
    <row r="20" spans="1:8" ht="23.85">
      <c r="A20" s="4" t="s">
        <v>60</v>
      </c>
      <c r="B20" s="4" t="s">
        <v>50</v>
      </c>
      <c r="C20" s="5" t="s">
        <v>61</v>
      </c>
      <c r="D20" s="4" t="s">
        <v>34</v>
      </c>
      <c r="E20" s="9" t="s">
        <v>22</v>
      </c>
      <c r="F20" s="4">
        <v>5</v>
      </c>
      <c r="G20" s="5" t="s">
        <v>62</v>
      </c>
      <c r="H20" s="4" t="s">
        <v>16</v>
      </c>
    </row>
    <row r="21" spans="1:8" ht="23.85">
      <c r="A21" s="7" t="s">
        <v>60</v>
      </c>
      <c r="B21" s="7" t="s">
        <v>50</v>
      </c>
      <c r="C21" s="8" t="s">
        <v>63</v>
      </c>
      <c r="D21" s="7" t="s">
        <v>64</v>
      </c>
      <c r="E21" s="10" t="s">
        <v>25</v>
      </c>
      <c r="F21" s="7">
        <v>4</v>
      </c>
      <c r="G21" s="8" t="s">
        <v>65</v>
      </c>
      <c r="H21" s="7" t="s">
        <v>16</v>
      </c>
    </row>
    <row r="22" spans="1:8" ht="23.85">
      <c r="A22" s="4" t="s">
        <v>66</v>
      </c>
      <c r="B22" s="4" t="s">
        <v>50</v>
      </c>
      <c r="C22" s="5" t="s">
        <v>67</v>
      </c>
      <c r="D22" s="4" t="s">
        <v>64</v>
      </c>
      <c r="E22" s="6" t="s">
        <v>14</v>
      </c>
      <c r="F22" s="4">
        <v>6</v>
      </c>
      <c r="G22" s="5" t="s">
        <v>68</v>
      </c>
      <c r="H22" s="4" t="s">
        <v>16</v>
      </c>
    </row>
    <row r="23" spans="1:8" ht="23.85">
      <c r="A23" s="7" t="s">
        <v>66</v>
      </c>
      <c r="B23" s="7" t="s">
        <v>50</v>
      </c>
      <c r="C23" s="8" t="s">
        <v>69</v>
      </c>
      <c r="D23" s="7" t="s">
        <v>70</v>
      </c>
      <c r="E23" s="6" t="s">
        <v>14</v>
      </c>
      <c r="F23" s="7">
        <v>3</v>
      </c>
      <c r="G23" s="8" t="s">
        <v>71</v>
      </c>
      <c r="H23" s="7" t="s">
        <v>16</v>
      </c>
    </row>
    <row r="24" spans="1:8" ht="23.85">
      <c r="A24" s="4" t="s">
        <v>72</v>
      </c>
      <c r="B24" s="4" t="s">
        <v>50</v>
      </c>
      <c r="C24" s="5" t="s">
        <v>73</v>
      </c>
      <c r="D24" s="4" t="s">
        <v>74</v>
      </c>
      <c r="E24" s="6" t="s">
        <v>14</v>
      </c>
      <c r="F24" s="4">
        <v>6</v>
      </c>
      <c r="G24" s="5" t="s">
        <v>75</v>
      </c>
      <c r="H24" s="4" t="s">
        <v>16</v>
      </c>
    </row>
    <row r="25" spans="1:8">
      <c r="A25" s="11" t="s">
        <v>72</v>
      </c>
      <c r="B25" s="11" t="s">
        <v>50</v>
      </c>
      <c r="C25" s="12" t="s">
        <v>76</v>
      </c>
      <c r="D25" s="11" t="s">
        <v>47</v>
      </c>
      <c r="E25" s="6" t="s">
        <v>14</v>
      </c>
      <c r="F25" s="11">
        <v>1</v>
      </c>
      <c r="G25" s="12" t="s">
        <v>77</v>
      </c>
      <c r="H25" s="11" t="s">
        <v>16</v>
      </c>
    </row>
    <row r="26" spans="1:8">
      <c r="A26" s="13"/>
      <c r="B26" s="13"/>
      <c r="C26" s="14" t="s">
        <v>78</v>
      </c>
      <c r="D26" s="13"/>
      <c r="E26" s="13"/>
      <c r="F26" s="15">
        <f>SUM(F4:F25)</f>
        <v>95</v>
      </c>
      <c r="G26" s="13"/>
      <c r="H26" s="13"/>
    </row>
  </sheetData>
  <autoFilter ref="A3:H25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/>
  </sheetViews>
  <sheetFormatPr defaultColWidth="8.7109375" defaultRowHeight="15"/>
  <cols>
    <col min="1" max="1" width="14" customWidth="1"/>
    <col min="2" max="2" width="12" customWidth="1"/>
  </cols>
  <sheetData>
    <row r="1" spans="1:3">
      <c r="A1" s="22" t="s">
        <v>79</v>
      </c>
      <c r="B1" s="22"/>
      <c r="C1" s="22"/>
    </row>
    <row r="3" spans="1:3">
      <c r="A3" s="16" t="s">
        <v>6</v>
      </c>
      <c r="B3" s="16" t="s">
        <v>80</v>
      </c>
    </row>
    <row r="4" spans="1:3">
      <c r="A4" s="17" t="s">
        <v>22</v>
      </c>
      <c r="B4" s="17">
        <f>SUMIF('Sprint Board'!E4:E25,A4,'Sprint Board'!F4:F25)</f>
        <v>38</v>
      </c>
    </row>
    <row r="5" spans="1:3">
      <c r="A5" s="17" t="s">
        <v>25</v>
      </c>
      <c r="B5" s="17">
        <f>SUMIF('Sprint Board'!E4:E25,A5,'Sprint Board'!F4:F25)</f>
        <v>34</v>
      </c>
    </row>
    <row r="6" spans="1:3">
      <c r="A6" s="17" t="s">
        <v>14</v>
      </c>
      <c r="B6" s="17">
        <f>SUMIF('Sprint Board'!E4:E25,A6,'Sprint Board'!F4:F25)</f>
        <v>23</v>
      </c>
    </row>
    <row r="8" spans="1:3">
      <c r="A8" s="18" t="s">
        <v>81</v>
      </c>
    </row>
    <row r="9" spans="1:3">
      <c r="A9" s="19" t="s">
        <v>82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/>
  </sheetViews>
  <sheetFormatPr defaultColWidth="8.7109375" defaultRowHeight="15"/>
  <cols>
    <col min="1" max="1" width="20" customWidth="1"/>
    <col min="2" max="2" width="92" customWidth="1"/>
  </cols>
  <sheetData>
    <row r="1" spans="1:2">
      <c r="A1" s="22" t="s">
        <v>83</v>
      </c>
      <c r="B1" s="22"/>
    </row>
    <row r="3" spans="1:2" ht="30" customHeight="1">
      <c r="A3" s="20" t="s">
        <v>84</v>
      </c>
      <c r="B3" s="21" t="s">
        <v>85</v>
      </c>
    </row>
    <row r="4" spans="1:2" ht="30" customHeight="1">
      <c r="A4" s="20" t="s">
        <v>86</v>
      </c>
      <c r="B4" s="21" t="s">
        <v>87</v>
      </c>
    </row>
    <row r="5" spans="1:2" ht="30" customHeight="1">
      <c r="A5" s="20" t="s">
        <v>88</v>
      </c>
      <c r="B5" s="21" t="s">
        <v>89</v>
      </c>
    </row>
    <row r="6" spans="1:2" ht="30" customHeight="1">
      <c r="A6" s="20" t="s">
        <v>90</v>
      </c>
      <c r="B6" s="21" t="s">
        <v>91</v>
      </c>
    </row>
    <row r="7" spans="1:2" ht="30" customHeight="1">
      <c r="A7" s="20" t="s">
        <v>92</v>
      </c>
      <c r="B7" s="21" t="s">
        <v>93</v>
      </c>
    </row>
    <row r="8" spans="1:2" ht="30" customHeight="1">
      <c r="A8" s="20" t="s">
        <v>94</v>
      </c>
      <c r="B8" s="21" t="s">
        <v>95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Suryakant Chandrakar</cp:lastModifiedBy>
  <cp:revision>0</cp:revision>
  <dcterms:created xsi:type="dcterms:W3CDTF">2026-06-06T17:25:24Z</dcterms:created>
  <dcterms:modified xsi:type="dcterms:W3CDTF">2026-06-08T19:32:53Z</dcterms:modified>
  <cp:category/>
  <cp:contentStatus/>
</cp:coreProperties>
</file>